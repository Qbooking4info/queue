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cker" sheetId="1" state="visible" r:id="rId1"/>
    <sheet xmlns:r="http://schemas.openxmlformats.org/officeDocument/2006/relationships" name="Summary" sheetId="2" state="visible" r:id="rId2"/>
  </sheets>
  <definedNames>
    <definedName name="_xlnm._FilterDatabase" localSheetId="0" hidden="1">'Tracker'!$A$4:$J$49</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color rgb="00FFFFFF"/>
      <sz val="14"/>
    </font>
    <font>
      <name val="Arial"/>
      <i val="1"/>
      <color rgb="0044546A"/>
      <sz val="9"/>
    </font>
    <font>
      <name val="Arial"/>
      <b val="1"/>
      <color rgb="00FFFFFF"/>
      <sz val="10"/>
    </font>
    <font>
      <name val="Arial"/>
      <sz val="10"/>
    </font>
    <font>
      <name val="Arial"/>
      <b val="1"/>
      <sz val="10"/>
    </font>
    <font>
      <name val="Arial"/>
      <b val="1"/>
      <sz val="11"/>
    </font>
  </fonts>
  <fills count="5">
    <fill>
      <patternFill/>
    </fill>
    <fill>
      <patternFill patternType="gray125"/>
    </fill>
    <fill>
      <patternFill patternType="solid">
        <fgColor rgb="001F3B57"/>
      </patternFill>
    </fill>
    <fill>
      <patternFill patternType="solid">
        <fgColor rgb="002E5E8A"/>
      </patternFill>
    </fill>
    <fill>
      <patternFill patternType="solid">
        <fgColor rgb="00FFF9E6"/>
      </patternFill>
    </fill>
  </fills>
  <borders count="2">
    <border>
      <left/>
      <right/>
      <top/>
      <bottom/>
      <diagonal/>
    </border>
    <border>
      <left style="thin">
        <color rgb="00BFCBD6"/>
      </left>
      <right style="thin">
        <color rgb="00BFCBD6"/>
      </right>
      <top style="thin">
        <color rgb="00BFCBD6"/>
      </top>
      <bottom style="thin">
        <color rgb="00BFCBD6"/>
      </bottom>
    </border>
  </borders>
  <cellStyleXfs count="1">
    <xf numFmtId="0" fontId="0" fillId="0" borderId="0"/>
  </cellStyleXfs>
  <cellXfs count="16">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xf numFmtId="0" fontId="3" fillId="3"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horizontal="left" vertical="top"/>
    </xf>
    <xf numFmtId="0" fontId="5" fillId="0" borderId="1" applyAlignment="1" pivotButton="0" quotePrefix="0" xfId="0">
      <alignment horizontal="left" vertical="top" wrapText="1"/>
    </xf>
    <xf numFmtId="0" fontId="4" fillId="0" borderId="1" applyAlignment="1" pivotButton="0" quotePrefix="0" xfId="0">
      <alignment horizontal="left" vertical="top" wrapText="1"/>
    </xf>
    <xf numFmtId="0" fontId="4" fillId="4" borderId="1" applyAlignment="1" pivotButton="0" quotePrefix="0" xfId="0">
      <alignment horizontal="center" vertical="top"/>
    </xf>
    <xf numFmtId="0" fontId="4" fillId="4" borderId="1" applyAlignment="1" pivotButton="0" quotePrefix="0" xfId="0">
      <alignment horizontal="left" vertical="top" wrapText="1"/>
    </xf>
    <xf numFmtId="0" fontId="1" fillId="2" borderId="0" pivotButton="0" quotePrefix="0" xfId="0"/>
    <xf numFmtId="0" fontId="6" fillId="0" borderId="0" pivotButton="0" quotePrefix="0" xfId="0"/>
    <xf numFmtId="0" fontId="3" fillId="3" borderId="0" pivotButton="0" quotePrefix="0" xfId="0"/>
    <xf numFmtId="0" fontId="4" fillId="0" borderId="0" pivotButton="0" quotePrefix="0" xfId="0"/>
    <xf numFmtId="0" fontId="5" fillId="0" borderId="0" pivotButton="0" quotePrefix="0" xfId="0"/>
    <xf numFmtId="164" fontId="6" fillId="0" borderId="0" pivotButton="0" quotePrefix="0" xfId="0"/>
  </cellXfs>
  <cellStyles count="1">
    <cellStyle name="Normal" xfId="0" builtinId="0" hidden="0"/>
  </cellStyles>
  <dxfs count="5">
    <dxf>
      <font>
        <name val="Arial"/>
        <b val="1"/>
        <color rgb="00006100"/>
        <sz val="10"/>
      </font>
      <fill>
        <patternFill patternType="solid">
          <fgColor rgb="00C6EFCE"/>
        </patternFill>
      </fill>
    </dxf>
    <dxf>
      <font>
        <name val="Arial"/>
        <b val="1"/>
        <color rgb="001F4E79"/>
        <sz val="10"/>
      </font>
      <fill>
        <patternFill patternType="solid">
          <fgColor rgb="00DDEBF7"/>
        </patternFill>
      </fill>
    </dxf>
    <dxf>
      <font>
        <name val="Arial"/>
        <b val="1"/>
        <color rgb="007F6000"/>
        <sz val="10"/>
      </font>
      <fill>
        <patternFill patternType="solid">
          <fgColor rgb="00FFEB9C"/>
        </patternFill>
      </fill>
    </dxf>
    <dxf>
      <font>
        <name val="Arial"/>
        <b val="1"/>
        <color rgb="00595959"/>
        <sz val="10"/>
      </font>
      <fill>
        <patternFill patternType="solid">
          <fgColor rgb="00E7E6E6"/>
        </patternFill>
      </fill>
    </dxf>
    <dxf>
      <font>
        <name val="Arial"/>
        <b val="1"/>
        <color rgb="009C1F3B"/>
        <sz val="10"/>
      </font>
      <fill>
        <patternFill patternType="solid">
          <fgColor rgb="00FCE4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9"/>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15" customWidth="1" min="2" max="2"/>
    <col width="15" customWidth="1" min="3" max="3"/>
    <col width="38" customWidth="1" min="4" max="4"/>
    <col width="52" customWidth="1" min="5" max="5"/>
    <col width="44" customWidth="1" min="6" max="6"/>
    <col width="8" customWidth="1" min="7" max="7"/>
    <col width="62" customWidth="1" min="8" max="8"/>
    <col width="14" customWidth="1" min="9" max="9"/>
    <col width="40" customWidth="1" min="10" max="10"/>
  </cols>
  <sheetData>
    <row r="1" ht="26" customHeight="1">
      <c r="A1" s="1" t="inlineStr">
        <is>
          <t>Queue Platform — Audit Tracker</t>
        </is>
      </c>
    </row>
    <row r="2" ht="28" customHeight="1">
      <c r="A2" s="2" t="inlineStr">
        <is>
          <t>Edit only the Status and Notes columns (shaded). Status is a dropdown; the row colour follows it. Source audit dated 21 Sep 2026; rows marked "Added · Claude" are findings from later working sessions, not from that PDF. NG launch rank is the priority given in the audit's Nigeria-readiness section, where one applies.</t>
        </is>
      </c>
    </row>
    <row r="4" ht="30" customHeight="1">
      <c r="A4" s="3" t="inlineStr">
        <is>
          <t>ID</t>
        </is>
      </c>
      <c r="B4" s="3" t="inlineStr">
        <is>
          <t>Source</t>
        </is>
      </c>
      <c r="C4" s="3" t="inlineStr">
        <is>
          <t>Area</t>
        </is>
      </c>
      <c r="D4" s="3" t="inlineStr">
        <is>
          <t>Issue</t>
        </is>
      </c>
      <c r="E4" s="3" t="inlineStr">
        <is>
          <t>What is wrong</t>
        </is>
      </c>
      <c r="F4" s="3" t="inlineStr">
        <is>
          <t>Evidence (file:line)</t>
        </is>
      </c>
      <c r="G4" s="3" t="inlineStr">
        <is>
          <t>NG launch rank</t>
        </is>
      </c>
      <c r="H4" s="3" t="inlineStr">
        <is>
          <t>Prompt to use</t>
        </is>
      </c>
      <c r="I4" s="3" t="inlineStr">
        <is>
          <t>Status</t>
        </is>
      </c>
      <c r="J4" s="3" t="inlineStr">
        <is>
          <t>Notes</t>
        </is>
      </c>
    </row>
    <row r="5" ht="58" customHeight="1">
      <c r="A5" s="4" t="n">
        <v>1</v>
      </c>
      <c r="B5" s="5" t="inlineStr">
        <is>
          <t>Audit · Critical</t>
        </is>
      </c>
      <c r="C5" s="5" t="inlineStr">
        <is>
          <t>Data integrity</t>
        </is>
      </c>
      <c r="D5" s="6" t="inlineStr">
        <is>
          <t>Patient can cancel an appointment already checked in or in progress</t>
        </is>
      </c>
      <c r="E5" s="7" t="inlineStr">
        <is>
          <t>Two permissive RLS UPDATE policies on appointments OR-combine, so the broader one nullifies the status restriction. UI offers Cancel with no server-side stop.</t>
        </is>
      </c>
      <c r="F5" s="7" t="inlineStr">
        <is>
          <t>supabase/migrations/20260827000001_dependent_account_linking.sql:170-179; apps/client/screens/AppointmentDetailScreen.tsx:132,578-590</t>
        </is>
      </c>
      <c r="G5" s="4" t="inlineStr"/>
      <c r="H5" s="7" t="inlineStr">
        <is>
          <t>This is already fixed — verify it stayed fixed. Confirm only one permissive UPDATE policy for patients remains on appointments, and prove a checked_in appointment cannot be cancelled by its patient. Show me the policy list and the failing attempt.</t>
        </is>
      </c>
      <c r="I5" s="8" t="inlineStr">
        <is>
          <t>Done</t>
        </is>
      </c>
      <c r="J5" s="9" t="inlineStr">
        <is>
          <t>Fixed: commit ef74bda + migration 20260922000001_fix_patient_appointment_update_rls.sql (dropped patients_update_own).</t>
        </is>
      </c>
    </row>
    <row r="6" ht="58" customHeight="1">
      <c r="A6" s="4" t="n">
        <v>2</v>
      </c>
      <c r="B6" s="5" t="inlineStr">
        <is>
          <t>Audit · Critical</t>
        </is>
      </c>
      <c r="C6" s="5" t="inlineStr">
        <is>
          <t>Money</t>
        </is>
      </c>
      <c r="D6" s="6" t="inlineStr">
        <is>
          <t>Refunds do not exist, and patients who paid online are told otherwise</t>
        </is>
      </c>
      <c r="E6" s="7" t="inlineStr">
        <is>
          <t>Cancellation copy says "nothing has been charged". Paystack payments are real; payments.refund_reason/refunded_at are never written by any code path.</t>
        </is>
      </c>
      <c r="F6" s="7" t="inlineStr">
        <is>
          <t>apps/client/screens/AppointmentDetailScreen.tsx:168; packages/shared/lib/api.ts:682-710; web/src/app/api/payments/ (no refund route)</t>
        </is>
      </c>
      <c r="G6" s="4" t="inlineStr"/>
      <c r="H6" s="7" t="inlineStr">
        <is>
          <t>Two options, recommend one: (a) make the cancellation copy conditional so it only claims "nothing charged" when no successful payment exists for that appointment, or (b) build a real Paystack refund route. Do (a) now as the honesty fix regardless, and tell me what (b) would involve.</t>
        </is>
      </c>
      <c r="I6" s="8" t="inlineStr">
        <is>
          <t>Not started</t>
        </is>
      </c>
      <c r="J6" s="9" t="inlineStr"/>
    </row>
    <row r="7" ht="58" customHeight="1">
      <c r="A7" s="4" t="n">
        <v>3</v>
      </c>
      <c r="B7" s="5" t="inlineStr">
        <is>
          <t>Audit · Critical</t>
        </is>
      </c>
      <c r="C7" s="5" t="inlineStr">
        <is>
          <t>Clinical safety</t>
        </is>
      </c>
      <c r="D7" s="6" t="inlineStr">
        <is>
          <t>Doctor identity and MDCN licence are self-reported with no verification</t>
        </is>
      </c>
      <c r="E7" s="7" t="inlineStr">
        <is>
          <t>Roster access granted by a 6-character code. mdcn_number is free nullable text; no is_verified on doctors. Uploaded credential documents are never shown to any admin.</t>
        </is>
      </c>
      <c r="F7" s="7" t="inlineStr">
        <is>
          <t>web/src/app/api/doctors/link/route.ts:93-229; apps/doctor/screens/specialist/DoctorSettingsScreen.tsx:186; web/src/app/dashboard/doctors/page.tsx:23-27</t>
        </is>
      </c>
      <c r="G7" s="4" t="inlineStr">
        <is>
          <t>4</t>
        </is>
      </c>
      <c r="H7" s="7" t="inlineStr">
        <is>
          <t>Add doctor verification: an is_verified column on doctors, MDCN format validation, and a review queue in the web dashboard that lists already-uploaded credential documents so an admin can approve or reject. Do not let an unverified doctor appear on a hospital roster.</t>
        </is>
      </c>
      <c r="I7" s="8" t="inlineStr">
        <is>
          <t>Not started</t>
        </is>
      </c>
      <c r="J7" s="9" t="inlineStr"/>
    </row>
    <row r="8" ht="58" customHeight="1">
      <c r="A8" s="4" t="n">
        <v>4</v>
      </c>
      <c r="B8" s="5" t="inlineStr">
        <is>
          <t>Audit · Critical</t>
        </is>
      </c>
      <c r="C8" s="5" t="inlineStr">
        <is>
          <t>Regulatory</t>
        </is>
      </c>
      <c r="D8" s="6" t="inlineStr">
        <is>
          <t>Ambulance providers are dispatchable the instant they self-register</t>
        </is>
      </c>
      <c r="E8" s="7" t="inlineStr">
        <is>
          <t>is_verified exists on ambulance_providers but is never set by registration, never flipped by any route, and never checked by find_candidate_units(). No NEMSAS/state EMS licence field exists.</t>
        </is>
      </c>
      <c r="F8" s="7" t="inlineStr">
        <is>
          <t>supabase/migrations/20260729000001_ambulance_core.sql:59,572; web/src/app/api/ambulances/register/route.ts:107-115; find_candidate_units() in 20260906000001:461-462</t>
        </is>
      </c>
      <c r="G8" s="4" t="inlineStr">
        <is>
          <t>5</t>
        </is>
      </c>
      <c r="H8" s="7" t="inlineStr">
        <is>
          <t>Add a licence-number field to ambulance_providers, an admin verification workflow that sets is_verified, and make find_candidate_units() filter on is_verified so an unverified operator is never offered a job. Show me the dispatch query before and after.</t>
        </is>
      </c>
      <c r="I8" s="8" t="inlineStr">
        <is>
          <t>Not started</t>
        </is>
      </c>
      <c r="J8" s="9" t="inlineStr"/>
    </row>
    <row r="9" ht="58" customHeight="1">
      <c r="A9" s="4" t="n">
        <v>5</v>
      </c>
      <c r="B9" s="5" t="inlineStr">
        <is>
          <t>Audit · Critical</t>
        </is>
      </c>
      <c r="C9" s="5" t="inlineStr">
        <is>
          <t>Clinical safety</t>
        </is>
      </c>
      <c r="D9" s="6" t="inlineStr">
        <is>
          <t>Ambulance vehicle tier and crew qualification are self-declared and trusted for triage matching</t>
        </is>
      </c>
      <c r="E9" s="7" t="inlineStr">
        <is>
          <t>BLS/ALS/CCT and crew roles are plain dropdowns with no document or certification check, yet the dispatch engine scores tier-fit on them for triage 1-2 calls.</t>
        </is>
      </c>
      <c r="F9" s="7" t="inlineStr">
        <is>
          <t>apps/ambulance/screens/admin/AdminFleetScreen.tsx:17-19,236-253; web/src/app/api/ambulances/fleet/units/route.ts:32-46; .../crew/route.ts:66-76</t>
        </is>
      </c>
      <c r="G9" s="4" t="inlineStr"/>
      <c r="H9" s="7" t="inlineStr">
        <is>
          <t>Require evidence for any tier above BLS: a document upload per unit and per crew member, plus an admin review step, and have the dispatch engine treat an unverified tier as BLS rather than taking the declaration at face value.</t>
        </is>
      </c>
      <c r="I9" s="8" t="inlineStr">
        <is>
          <t>Not started</t>
        </is>
      </c>
      <c r="J9" s="9" t="inlineStr"/>
    </row>
    <row r="10" ht="58" customHeight="1">
      <c r="A10" s="4" t="n">
        <v>6</v>
      </c>
      <c r="B10" s="5" t="inlineStr">
        <is>
          <t>Audit · Critical</t>
        </is>
      </c>
      <c r="C10" s="5" t="inlineStr">
        <is>
          <t>Broken promise</t>
        </is>
      </c>
      <c r="D10" s="6" t="inlineStr">
        <is>
          <t>Emergency confirmation screen promises an SMS that is never sent</t>
        </is>
      </c>
      <c r="E10" s="7" t="inlineStr">
        <is>
          <t>"Hospital contact will be shared via SMS shortly" is hardcoded on the highest-stakes screen. No patient-facing SMS integration exists anywhere.</t>
        </is>
      </c>
      <c r="F10" s="7" t="inlineStr">
        <is>
          <t>apps/client/screens/EmergencyConfirmationScreen.tsx:162</t>
        </is>
      </c>
      <c r="G10" s="4" t="inlineStr">
        <is>
          <t>1</t>
        </is>
      </c>
      <c r="H10" s="7" t="inlineStr">
        <is>
          <t>Remove the SMS promise from the emergency confirmation screen right now, and replace it with what actually happens. Separately tell me what wiring real patient SMS would take, reusing the existing Termii/Africa's Talking integration used for dispatcher paging.</t>
        </is>
      </c>
      <c r="I10" s="8" t="inlineStr">
        <is>
          <t>Not started</t>
        </is>
      </c>
      <c r="J10" s="9" t="inlineStr"/>
    </row>
    <row r="11" ht="58" customHeight="1">
      <c r="A11" s="4" t="n">
        <v>7</v>
      </c>
      <c r="B11" s="5" t="inlineStr">
        <is>
          <t>Audit · Critical</t>
        </is>
      </c>
      <c r="C11" s="5" t="inlineStr">
        <is>
          <t>Emergency reliability</t>
        </is>
      </c>
      <c r="D11" s="6" t="inlineStr">
        <is>
          <t>"No ambulance available" cannot reach a patient who is not looking at their phone, and the fallback directory was empty</t>
        </is>
      </c>
      <c r="E11" s="7" t="inlineStr">
        <is>
          <t>Generated by a pg_cron sweep with no HTTP capability, so in-app row only. The offline emergency-number directory it falls back to had 0 rows in production.</t>
        </is>
      </c>
      <c r="F11" s="7" t="inlineStr">
        <is>
          <t>supabase/migrations/20260810000002_emergency_search_deadline.sql:172-183; supabase/seed/emergency_directory_lagos.sql:18-23</t>
        </is>
      </c>
      <c r="G11" s="4" t="inlineStr">
        <is>
          <t>1</t>
        </is>
      </c>
      <c r="H11" s="7" t="inlineStr">
        <is>
          <t>First, populate the emergency-number directory for Lagos and confirm it has rows in production. Then give the no-ambulance-available sweep a way to reach the patient outside the app (push at minimum, SMS ideally). Verify by querying the live table, not the seed file.</t>
        </is>
      </c>
      <c r="I11" s="8" t="inlineStr">
        <is>
          <t>Not started</t>
        </is>
      </c>
      <c r="J11" s="9" t="inlineStr"/>
    </row>
    <row r="12" ht="58" customHeight="1">
      <c r="A12" s="4" t="n">
        <v>8</v>
      </c>
      <c r="B12" s="5" t="inlineStr">
        <is>
          <t>Audit · Critical</t>
        </is>
      </c>
      <c r="C12" s="5" t="inlineStr">
        <is>
          <t>Infrastructure</t>
        </is>
      </c>
      <c r="D12" s="6" t="inlineStr">
        <is>
          <t>Push and realtime were both silently broken in production until late Aug 2026</t>
        </is>
      </c>
      <c r="E12" s="7" t="inlineStr">
        <is>
          <t>RLS lockdown never whitelisted push_token so no device ever had one on file; realtime publication omitted appointments/notifications/transport_requests so 8 screens of live updates were inert. Both fixed, but device tokens may still be stale.</t>
        </is>
      </c>
      <c r="F12" s="7" t="inlineStr">
        <is>
          <t>supabase/migrations/20260827000003_allow_push_token_update.sql; 20260823000003_realtime_publication_fix.sql</t>
        </is>
      </c>
      <c r="G12" s="4" t="inlineStr"/>
      <c r="H12" s="7" t="inlineStr">
        <is>
          <t>Verify push and realtime are genuinely working now, not just that the migrations ran: count how many users actually have a push_token, confirm the realtime publication includes all three tables, and send a test push to a real device. Report the token coverage number.</t>
        </is>
      </c>
      <c r="I12" s="8" t="inlineStr">
        <is>
          <t>Not started</t>
        </is>
      </c>
      <c r="J12" s="9" t="inlineStr"/>
    </row>
    <row r="13" ht="58" customHeight="1">
      <c r="A13" s="4" t="n">
        <v>9</v>
      </c>
      <c r="B13" s="5" t="inlineStr">
        <is>
          <t>Audit · Critical</t>
        </is>
      </c>
      <c r="C13" s="5" t="inlineStr">
        <is>
          <t>Product gap</t>
        </is>
      </c>
      <c r="D13" s="6" t="inlineStr">
        <is>
          <t>Ambulance billing is schema-only and no transport request can reach "completed"</t>
        </is>
      </c>
      <c r="E13" s="7" t="inlineStr">
        <is>
          <t>Rate-card and invoice tables are never read or written. The completed transition is reserved for a receiving-facility actor that no screen implements, so no trip can be closed by anyone.</t>
        </is>
      </c>
      <c r="F13" s="7" t="inlineStr">
        <is>
          <t>supabase/migrations/20260729000001_ambulance_core.sql:343-379; 20260729000004:122-127; apps/hospital/screens/staff/AmbulanceRequestsScreen.tsx (read-only)</t>
        </is>
      </c>
      <c r="G13" s="4" t="inlineStr"/>
      <c r="H13" s="7" t="inlineStr">
        <is>
          <t>Build the receiving-facility handover action so a hospital can mark a transport request completed, since nothing can currently close one. Then tell me what billing would need on top, given the rate-card and invoice tables already exist.</t>
        </is>
      </c>
      <c r="I13" s="8" t="inlineStr">
        <is>
          <t>Not started</t>
        </is>
      </c>
      <c r="J13" s="9" t="inlineStr"/>
    </row>
    <row r="14" ht="58" customHeight="1">
      <c r="A14" s="4" t="n">
        <v>10</v>
      </c>
      <c r="B14" s="5" t="inlineStr">
        <is>
          <t>Audit · Critical</t>
        </is>
      </c>
      <c r="C14" s="5" t="inlineStr">
        <is>
          <t>Race condition</t>
        </is>
      </c>
      <c r="D14" s="6" t="inlineStr">
        <is>
          <t>Panicked double-tap in an emergency can create two separate bookings</t>
        </is>
      </c>
      <c r="E14" s="7" t="inlineStr">
        <is>
          <t>Emergency bookings are exempt from the duplicate-active-booking trigger (correctly) but nothing replaces that with request-level idempotency.</t>
        </is>
      </c>
      <c r="F14" s="7" t="inlineStr">
        <is>
          <t>supabase/migrations/20260801000001_no_duplicate_active_bookings.sql:20-22; apps/client/screens/EmergencyBookingScreen.tsx:217-299</t>
        </is>
      </c>
      <c r="G14" s="4" t="inlineStr">
        <is>
          <t>6</t>
        </is>
      </c>
      <c r="H14" s="7" t="inlineStr">
        <is>
          <t>This is already fixed — verify it. Confirm the 3-minute emergency resubmit guard still exists and actually blocks a rapid second submit for the same patient. Show me the trigger and a failing duplicate attempt.</t>
        </is>
      </c>
      <c r="I14" s="8" t="inlineStr">
        <is>
          <t>Done</t>
        </is>
      </c>
      <c r="J14" s="9" t="inlineStr">
        <is>
          <t>Fixed: migration 20260923000001_emergency_booking_submit_guard.sql (3-minute resubmit trigger, ERRCODE 23505).</t>
        </is>
      </c>
    </row>
    <row r="15" ht="58" customHeight="1">
      <c r="A15" s="4" t="n">
        <v>11</v>
      </c>
      <c r="B15" s="5" t="inlineStr">
        <is>
          <t>Audit · High</t>
        </is>
      </c>
      <c r="C15" s="5" t="inlineStr">
        <is>
          <t>Payments</t>
        </is>
      </c>
      <c r="D15" s="6" t="inlineStr">
        <is>
          <t>Card / Bank Transfer / USSD / HMO picker is decorative</t>
        </is>
      </c>
      <c r="E15" s="7" t="inlineStr">
        <is>
          <t>The selection is stored on the appointment but never read by payment initialization. Every patient gets the same generic Paystack checkout.</t>
        </is>
      </c>
      <c r="F15" s="7" t="inlineStr">
        <is>
          <t>apps/client/screens/BookingFlowScreen.tsx:100-105; packages/shared/lib/payments.ts:36; web/src/app/api/payments/initialize/route.ts</t>
        </is>
      </c>
      <c r="G15" s="4" t="inlineStr">
        <is>
          <t>2</t>
        </is>
      </c>
      <c r="H15" s="7" t="inlineStr">
        <is>
          <t>Make the payment-method picker real by passing a Paystack channels restriction derived from what the patient actually selected. If a method cannot be honoured, remove it from the picker rather than leaving it decorative. Card penetration is lower than transfer/USSD in this market.</t>
        </is>
      </c>
      <c r="I15" s="8" t="inlineStr">
        <is>
          <t>Not started</t>
        </is>
      </c>
      <c r="J15" s="9" t="inlineStr"/>
    </row>
    <row r="16" ht="58" customHeight="1">
      <c r="A16" s="4" t="n">
        <v>12</v>
      </c>
      <c r="B16" s="5" t="inlineStr">
        <is>
          <t>Audit · High</t>
        </is>
      </c>
      <c r="C16" s="5" t="inlineStr">
        <is>
          <t>Payments</t>
        </is>
      </c>
      <c r="D16" s="6" t="inlineStr">
        <is>
          <t>HMO/Insurance is a label with nothing behind it</t>
        </is>
      </c>
      <c r="E16" s="7" t="inlineStr">
        <is>
          <t>user_insurance stores provider/plan/member ID as free text. No eligibility check, no claim, no effect on the amount charged.</t>
        </is>
      </c>
      <c r="F16" s="7" t="inlineStr">
        <is>
          <t>supabase/migrations/20260531120200_user_insurance.sql</t>
        </is>
      </c>
      <c r="G16" s="4" t="inlineStr">
        <is>
          <t>6</t>
        </is>
      </c>
      <c r="H16" s="7" t="inlineStr">
        <is>
          <t>Either hide the HMO option until it does something, or build a manual pre-authorization flow where front desk records an authorization code against the appointment. Recommend which, and say what a real HMO eligibility integration would require.</t>
        </is>
      </c>
      <c r="I16" s="8" t="inlineStr">
        <is>
          <t>Not started</t>
        </is>
      </c>
      <c r="J16" s="9" t="inlineStr"/>
    </row>
    <row r="17" ht="58" customHeight="1">
      <c r="A17" s="4" t="n">
        <v>13</v>
      </c>
      <c r="B17" s="5" t="inlineStr">
        <is>
          <t>Audit · High</t>
        </is>
      </c>
      <c r="C17" s="5" t="inlineStr">
        <is>
          <t>Concurrency</t>
        </is>
      </c>
      <c r="D17" s="6" t="inlineStr">
        <is>
          <t>Daily booking-limit enforcement has a real race condition</t>
        </is>
      </c>
      <c r="E17" s="7" t="inlineStr">
        <is>
          <t>Duplicates, clinic eligibility and slot capacity are all closed with BEFORE INSERT triggers. The per-day/per-clinic cap is only an advisory RPC before submit, so two concurrent bookings can both pass.</t>
        </is>
      </c>
      <c r="F17" s="7" t="inlineStr">
        <is>
          <t>supabase/migrations/20260810000007_clinic_daily_booking_limit.sql:19-51</t>
        </is>
      </c>
      <c r="G17" s="4" t="inlineStr"/>
      <c r="H17" s="7" t="inlineStr">
        <is>
          <t>Close the daily booking-limit race with a real BEFORE INSERT trigger, matching how duplicates, clinic eligibility and slot capacity are already enforced. Prove it by firing two concurrent inserts that both pass the advisory check.</t>
        </is>
      </c>
      <c r="I17" s="8" t="inlineStr">
        <is>
          <t>Not started</t>
        </is>
      </c>
      <c r="J17" s="9" t="inlineStr"/>
    </row>
    <row r="18" ht="58" customHeight="1">
      <c r="A18" s="4" t="n">
        <v>14</v>
      </c>
      <c r="B18" s="5" t="inlineStr">
        <is>
          <t>Audit · High</t>
        </is>
      </c>
      <c r="C18" s="5" t="inlineStr">
        <is>
          <t>Data integrity</t>
        </is>
      </c>
      <c r="D18" s="6" t="inlineStr">
        <is>
          <t>Reschedule is two unguarded round trips, not one transaction</t>
        </is>
      </c>
      <c r="E18" s="7" t="inlineStr">
        <is>
          <t>Inserts the new appointment then separately closes the old one. A dropped connection leaves both live; the failure is only console.warn and the function still reports success.</t>
        </is>
      </c>
      <c r="F18" s="7" t="inlineStr">
        <is>
          <t>packages/shared/lib/api.ts:987-1031</t>
        </is>
      </c>
      <c r="G18" s="4" t="inlineStr"/>
      <c r="H18" s="7" t="inlineStr">
        <is>
          <t>Make reschedule atomic by moving both writes into a single SQL function, so a dropped connection cannot leave two live appointments. Also stop it reporting success when the second write failed.</t>
        </is>
      </c>
      <c r="I18" s="8" t="inlineStr">
        <is>
          <t>Not started</t>
        </is>
      </c>
      <c r="J18" s="9" t="inlineStr"/>
    </row>
    <row r="19" ht="58" customHeight="1">
      <c r="A19" s="4" t="n">
        <v>15</v>
      </c>
      <c r="B19" s="5" t="inlineStr">
        <is>
          <t>Audit · High</t>
        </is>
      </c>
      <c r="C19" s="5" t="inlineStr">
        <is>
          <t>Broken feature</t>
        </is>
      </c>
      <c r="D19" s="6" t="inlineStr">
        <is>
          <t>The screen named "Prescriptions" does not show prescriptions</t>
        </is>
      </c>
      <c r="E19" s="7" t="inlineStr">
        <is>
          <t>Renders only doctor notes and diagnosis, though the appointment record has a real prescription field that Appointment Detail displays correctly.</t>
        </is>
      </c>
      <c r="F19" s="7" t="inlineStr">
        <is>
          <t>apps/client/screens/PrescriptionsScreen.tsx:66-133</t>
        </is>
      </c>
      <c r="G19" s="4" t="inlineStr"/>
      <c r="H19" s="7" t="inlineStr">
        <is>
          <t>Make the Prescriptions screen actually show the prescription field from the appointment record, the way AppointmentDetailScreen already does. Check whether any other screen has the same mismatch between its name and its content.</t>
        </is>
      </c>
      <c r="I19" s="8" t="inlineStr">
        <is>
          <t>Not started</t>
        </is>
      </c>
      <c r="J19" s="9" t="inlineStr"/>
    </row>
    <row r="20" ht="58" customHeight="1">
      <c r="A20" s="4" t="n">
        <v>16</v>
      </c>
      <c r="B20" s="5" t="inlineStr">
        <is>
          <t>Audit · High</t>
        </is>
      </c>
      <c r="C20" s="5" t="inlineStr">
        <is>
          <t>Transparency</t>
        </is>
      </c>
      <c r="D20" s="6" t="inlineStr">
        <is>
          <t>Patients have no visibility into referrals</t>
        </is>
      </c>
      <c r="E20" s="7" t="inlineStr">
        <is>
          <t>Referral source/reason is on the staff dashboard but is never selected in the patient app query, so a referred appointment renders as an ordinary booking.</t>
        </is>
      </c>
      <c r="F20" s="7" t="inlineStr">
        <is>
          <t>packages/shared/lib/api.ts:334-337 (APPOINTMENT_SELECT); web/src/app/api/appointments/refer/route.ts:191-197</t>
        </is>
      </c>
      <c r="G20" s="4" t="inlineStr"/>
      <c r="H20" s="7" t="inlineStr">
        <is>
          <t>Add referral fields to APPOINTMENT_SELECT and show the patient who referred them, why, and from where, on the appointment detail screen. Notify them when a referral is created, not only when it is approved.</t>
        </is>
      </c>
      <c r="I20" s="8" t="inlineStr">
        <is>
          <t>Not started</t>
        </is>
      </c>
      <c r="J20" s="9" t="inlineStr"/>
    </row>
    <row r="21" ht="58" customHeight="1">
      <c r="A21" s="4" t="n">
        <v>17</v>
      </c>
      <c r="B21" s="5" t="inlineStr">
        <is>
          <t>Audit · High</t>
        </is>
      </c>
      <c r="C21" s="5" t="inlineStr">
        <is>
          <t>Scheduling</t>
        </is>
      </c>
      <c r="D21" s="6" t="inlineStr">
        <is>
          <t>A doctor at two hospitals can be double-booked with no warning</t>
        </is>
      </c>
      <c r="E21" s="7" t="inlineStr">
        <is>
          <t>Each hospital affiliation creates an independent doctors row with independently generated slots. Nothing ties scheduling back to the same person. Multi-clinic practice is the norm in Nigeria.</t>
        </is>
      </c>
      <c r="F21" s="7" t="inlineStr">
        <is>
          <t>web/src/app/api/doctors/link/route.ts:195-219; web/src/app/api/doctors/schedule/route.ts:207-209</t>
        </is>
      </c>
      <c r="G21" s="4" t="inlineStr"/>
      <c r="H21" s="7" t="inlineStr">
        <is>
          <t>Prevent cross-hospital double-booking for the same real person: when generating or booking a slot, check the doctor's other doctors rows (same user_id) for an overlapping appointment and refuse or warn. This is a live risk, not theoretical.</t>
        </is>
      </c>
      <c r="I21" s="8" t="inlineStr">
        <is>
          <t>Not started</t>
        </is>
      </c>
      <c r="J21" s="9" t="inlineStr"/>
    </row>
    <row r="22" ht="58" customHeight="1">
      <c r="A22" s="4" t="n">
        <v>18</v>
      </c>
      <c r="B22" s="5" t="inlineStr">
        <is>
          <t>Audit · High</t>
        </is>
      </c>
      <c r="C22" s="5" t="inlineStr">
        <is>
          <t>Fairness</t>
        </is>
      </c>
      <c r="D22" s="6" t="inlineStr">
        <is>
          <t>"Checked in but never called" is labelled the same as "never showed up"</t>
        </is>
      </c>
      <c r="E22" s="7" t="inlineStr">
        <is>
          <t>The nightly cleanup marks both as no_show with identical copy, so a patient penalised for the hospital's own delay cannot distinguish their case.</t>
        </is>
      </c>
      <c r="F22" s="7" t="inlineStr">
        <is>
          <t>supabase/migrations/20260809000001_cleanup_stuck_checkins.sql:74-97</t>
        </is>
      </c>
      <c r="G22" s="4" t="inlineStr"/>
      <c r="H22" s="7" t="inlineStr">
        <is>
          <t>Separate the two no-show cases: a patient who checked in and was never called must not carry the same penalty or label as one who never arrived. Add a distinct status or reason and update the patient-facing copy.</t>
        </is>
      </c>
      <c r="I22" s="8" t="inlineStr">
        <is>
          <t>Not started</t>
        </is>
      </c>
      <c r="J22" s="9" t="inlineStr"/>
    </row>
    <row r="23" ht="58" customHeight="1">
      <c r="A23" s="4" t="n">
        <v>19</v>
      </c>
      <c r="B23" s="5" t="inlineStr">
        <is>
          <t>Audit · High</t>
        </is>
      </c>
      <c r="C23" s="5" t="inlineStr">
        <is>
          <t>Copy accuracy</t>
        </is>
      </c>
      <c r="D23" s="6" t="inlineStr">
        <is>
          <t>Hospital settings claim "Queue does not process payments" beside the live Paystack setup</t>
        </is>
      </c>
      <c r="E23" s="7" t="inlineStr">
        <is>
          <t>Directly contradictory copy on the same page as the online-payment configuration, actively misinforming hospital staff about their obligations.</t>
        </is>
      </c>
      <c r="F23" s="7" t="inlineStr">
        <is>
          <t>web/src/app/dashboard/settings/page.tsx:403</t>
        </is>
      </c>
      <c r="G23" s="4" t="inlineStr"/>
      <c r="H23" s="7" t="inlineStr">
        <is>
          <t>Fix the contradictory copy on the hospital settings page that says Queue does not process payments, directly beside the live Paystack payout configuration. Check the same page for any other stale claims.</t>
        </is>
      </c>
      <c r="I23" s="8" t="inlineStr">
        <is>
          <t>Not started</t>
        </is>
      </c>
      <c r="J23" s="9" t="inlineStr"/>
    </row>
    <row r="24" ht="58" customHeight="1">
      <c r="A24" s="4" t="n">
        <v>20</v>
      </c>
      <c r="B24" s="5" t="inlineStr">
        <is>
          <t>Audit · High</t>
        </is>
      </c>
      <c r="C24" s="5" t="inlineStr">
        <is>
          <t>Dead feature</t>
        </is>
      </c>
      <c r="D24" s="6" t="inlineStr">
        <is>
          <t>SMS/Email reminder toggles in hospital settings do nothing</t>
        </is>
      </c>
      <c r="E24" s="7" t="inlineStr">
        <is>
          <t>The flags persist but nothing ever reads them, and there is no SMS/email sending infrastructure to read them.</t>
        </is>
      </c>
      <c r="F24" s="7" t="inlineStr">
        <is>
          <t>web/src/app/dashboard/settings/page.tsx:411-412; supabase/migrations/20260723000001_hospitals_reminder_flags.sql</t>
        </is>
      </c>
      <c r="G24" s="4" t="inlineStr"/>
      <c r="H24" s="7" t="inlineStr">
        <is>
          <t>Either disable the SMS/Email reminder toggles with an explanatory note, or wire them to real sending. Do not leave a control that silently does nothing when a hospital admin turns it on.</t>
        </is>
      </c>
      <c r="I24" s="8" t="inlineStr">
        <is>
          <t>Not started</t>
        </is>
      </c>
      <c r="J24" s="9" t="inlineStr"/>
    </row>
    <row r="25" ht="58" customHeight="1">
      <c r="A25" s="4" t="n">
        <v>21</v>
      </c>
      <c r="B25" s="5" t="inlineStr">
        <is>
          <t>Audit · High</t>
        </is>
      </c>
      <c r="C25" s="5" t="inlineStr">
        <is>
          <t>Access gap</t>
        </is>
      </c>
      <c r="D25" s="6" t="inlineStr">
        <is>
          <t>Mobile hospital app has no revenue or rating analytics; only the web dashboard does</t>
        </is>
      </c>
      <c r="E25" s="7" t="inlineStr">
        <is>
          <t>Both call the same endpoints, which already return the figures, but the mobile screen never renders them. A phone-only clinic owner cannot see this data at all.</t>
        </is>
      </c>
      <c r="F25" s="7" t="inlineStr">
        <is>
          <t>web/src/app/dashboard/analytics/page.tsx:138-143; apps/hospital/screens/staff/StaffAnalyticsScreen.tsx</t>
        </is>
      </c>
      <c r="G25" s="4" t="inlineStr"/>
      <c r="H25" s="7" t="inlineStr">
        <is>
          <t>Render the revenue and rating figures on the hospital mobile analytics screen. The endpoint already returns them, so this is a rendering gap, not a data one. Many Nigerian clinic owners only carry a phone.</t>
        </is>
      </c>
      <c r="I25" s="8" t="inlineStr">
        <is>
          <t>Not started</t>
        </is>
      </c>
      <c r="J25" s="9" t="inlineStr"/>
    </row>
    <row r="26" ht="58" customHeight="1">
      <c r="A26" s="4" t="n">
        <v>22</v>
      </c>
      <c r="B26" s="5" t="inlineStr">
        <is>
          <t>Audit · High</t>
        </is>
      </c>
      <c r="C26" s="5" t="inlineStr">
        <is>
          <t>Observability</t>
        </is>
      </c>
      <c r="D26" s="6" t="inlineStr">
        <is>
          <t>Crash reporting is wired but not initialised in 3 of 4 apps</t>
        </is>
      </c>
      <c r="E26" s="7" t="inlineStr">
        <is>
          <t>Three apps call Sentry.wrap() but never Sentry.init(), and no DSN exists in any tracked env or EAS profile. The team likely has no crash visibility at all.</t>
        </is>
      </c>
      <c r="F26" s="7" t="inlineStr">
        <is>
          <t>apps/{ambulance,doctor,hospital}/App.tsx; apps/*/eas.json</t>
        </is>
      </c>
      <c r="G26" s="4" t="inlineStr"/>
      <c r="H26" s="7" t="inlineStr">
        <is>
          <t>Add Sentry.init() with a real DSN to every mobile app that is missing it, configure the DSN in each EAS build profile, then prove it works by triggering a test crash in each app and showing me the event in Sentry.</t>
        </is>
      </c>
      <c r="I26" s="8" t="inlineStr">
        <is>
          <t>Not started</t>
        </is>
      </c>
      <c r="J26" s="9" t="inlineStr"/>
    </row>
    <row r="27" ht="58" customHeight="1">
      <c r="A27" s="4" t="n">
        <v>23</v>
      </c>
      <c r="B27" s="5" t="inlineStr">
        <is>
          <t>Audit · High</t>
        </is>
      </c>
      <c r="C27" s="5" t="inlineStr">
        <is>
          <t>Resilience</t>
        </is>
      </c>
      <c r="D27" s="6" t="inlineStr">
        <is>
          <t>No retry or offline queue for actions that matter</t>
        </is>
      </c>
      <c r="E27" s="7" t="inlineStr">
        <is>
          <t>Ambulance accept/decline, location pings and booking submission are one-shot calls. A connectivity gap silently drops the action.</t>
        </is>
      </c>
      <c r="F27" s="7" t="inlineStr">
        <is>
          <t>packages/shared/lib/crew-api.ts:121-136; packages/shared/lib/location-task.ts:89-93</t>
        </is>
      </c>
      <c r="G27" s="4" t="inlineStr">
        <is>
          <t>9</t>
        </is>
      </c>
      <c r="H27" s="7" t="inlineStr">
        <is>
          <t>Add a retry/offline queue for the actions that must not be silently dropped: ambulance offer accept/decline, location pings, and booking submission. Reuse the discipline already shown in the offline emergency-directory cache.</t>
        </is>
      </c>
      <c r="I27" s="8" t="inlineStr">
        <is>
          <t>Not started</t>
        </is>
      </c>
      <c r="J27" s="9" t="inlineStr"/>
    </row>
    <row r="28" ht="58" customHeight="1">
      <c r="A28" s="4" t="n">
        <v>24</v>
      </c>
      <c r="B28" s="5" t="inlineStr">
        <is>
          <t>Audit · High</t>
        </is>
      </c>
      <c r="C28" s="5" t="inlineStr">
        <is>
          <t>Resilience</t>
        </is>
      </c>
      <c r="D28" s="6" t="inlineStr">
        <is>
          <t>Offline handling is excellent in the emergency flow and absent everywhere else</t>
        </is>
      </c>
      <c r="E28" s="7" t="inlineStr">
        <is>
          <t>Ordinary queue/appointment/notification screens have no caching, and the "spinner forever" bug class (unhandled rejection leaving a screen stuck) has shipped before and is not uniformly fixed.</t>
        </is>
      </c>
      <c r="F28" s="7" t="inlineStr">
        <is>
          <t>packages/shared/lib/emergency-directory.ts:38-92; apps/client/screens/HomeScreen.tsx:141-171</t>
        </is>
      </c>
      <c r="G28" s="4" t="inlineStr">
        <is>
          <t>9</t>
        </is>
      </c>
      <c r="H28" s="7" t="inlineStr">
        <is>
          <t>Audit every screen for the spinner-forever pattern: any await whose loading state is only cleared on the success path. Wrap each in try/finally. Then add local caching to the ordinary queue/appointment/notification screens.</t>
        </is>
      </c>
      <c r="I28" s="8" t="inlineStr">
        <is>
          <t>In progress</t>
        </is>
      </c>
      <c r="J28" s="9" t="inlineStr">
        <is>
          <t>Login path fixed in commit ebfb2c1 (try/finally in both login handlers + signIn). Other load paths not yet swept.</t>
        </is>
      </c>
    </row>
    <row r="29" ht="58" customHeight="1">
      <c r="A29" s="4" t="n">
        <v>25</v>
      </c>
      <c r="B29" s="5" t="inlineStr">
        <is>
          <t>Audit · High</t>
        </is>
      </c>
      <c r="C29" s="5" t="inlineStr">
        <is>
          <t>Notifications</t>
        </is>
      </c>
      <c r="D29" s="6" t="inlineStr">
        <is>
          <t>One push token per user, so a second device silently gets nothing</t>
        </is>
      </c>
      <c r="E29" s="7" t="inlineStr">
        <is>
          <t>Logging in on a new phone overwrites the stored token and the previous device stops receiving pushes with no indication.</t>
        </is>
      </c>
      <c r="F29" s="7" t="inlineStr">
        <is>
          <t>packages/shared/lib/api.ts:1055-1064</t>
        </is>
      </c>
      <c r="G29" s="4" t="inlineStr"/>
      <c r="H29" s="7" t="inlineStr">
        <is>
          <t>Move push tokens to a separate table keyed per device so a user can receive notifications on more than one phone, and clean up tokens that fail delivery.</t>
        </is>
      </c>
      <c r="I29" s="8" t="inlineStr">
        <is>
          <t>Not started</t>
        </is>
      </c>
      <c r="J29" s="9" t="inlineStr"/>
    </row>
    <row r="30" ht="58" customHeight="1">
      <c r="A30" s="4" t="n">
        <v>26</v>
      </c>
      <c r="B30" s="5" t="inlineStr">
        <is>
          <t>Audit · High</t>
        </is>
      </c>
      <c r="C30" s="5" t="inlineStr">
        <is>
          <t>Identity</t>
        </is>
      </c>
      <c r="D30" s="6" t="inlineStr">
        <is>
          <t>The patient "Verified" flag can never become true</t>
        </is>
      </c>
      <c r="E30" s="7" t="inlineStr">
        <is>
          <t>users.is_verified is correctly excluded from the patient's own update grant, but no staff action or admin route ever sets it either. Every account shows a permanent Unverified badge.</t>
        </is>
      </c>
      <c r="F30" s="7" t="inlineStr">
        <is>
          <t>apps/client/screens/ProfileScreen.tsx:104-109; supabase/migrations/20260816000002_lock_down_users_self_update.sql</t>
        </is>
      </c>
      <c r="G30" s="4" t="inlineStr"/>
      <c r="H30" s="7" t="inlineStr">
        <is>
          <t>Either build the path that sets users.is_verified (who verifies a patient, and how) or remove the Unverified badge from the profile screen. A badge that can never change is worse than no badge.</t>
        </is>
      </c>
      <c r="I30" s="8" t="inlineStr">
        <is>
          <t>Not started</t>
        </is>
      </c>
      <c r="J30" s="9" t="inlineStr"/>
    </row>
    <row r="31" ht="58" customHeight="1">
      <c r="A31" s="4" t="n">
        <v>27</v>
      </c>
      <c r="B31" s="5" t="inlineStr">
        <is>
          <t>Audit · High</t>
        </is>
      </c>
      <c r="C31" s="5" t="inlineStr">
        <is>
          <t>Family booking</t>
        </is>
      </c>
      <c r="D31" s="6" t="inlineStr">
        <is>
          <t>A dependent now needs their own full account, including an infant</t>
        </is>
      </c>
      <c r="E31" s="7" t="inlineStr">
        <is>
          <t>The lightweight name+DOB dependent record was deprecated and is no longer insertable, so every dependent needs email, password and phone. There is no path for a young child.</t>
        </is>
      </c>
      <c r="F31" s="7" t="inlineStr">
        <is>
          <t>supabase/migrations/20260827000001_dependent_account_linking.sql; apps/client/screens/RegisterScreen.tsx:50-85</t>
        </is>
      </c>
      <c r="G31" s="4" t="inlineStr"/>
      <c r="H31" s="7" t="inlineStr">
        <is>
          <t>Restore a way to add a dependent who has no email of their own — an infant or small child — without requiring a full separate account. Keep the code-linking flow for dependents who do have their own account.</t>
        </is>
      </c>
      <c r="I31" s="8" t="inlineStr">
        <is>
          <t>Not started</t>
        </is>
      </c>
      <c r="J31" s="9" t="inlineStr"/>
    </row>
    <row r="32" ht="58" customHeight="1">
      <c r="A32" s="4" t="n">
        <v>28</v>
      </c>
      <c r="B32" s="5" t="inlineStr">
        <is>
          <t>Audit · Structural</t>
        </is>
      </c>
      <c r="C32" s="5" t="inlineStr">
        <is>
          <t>Localization</t>
        </is>
      </c>
      <c r="D32" s="6" t="inlineStr">
        <is>
          <t>Zero i18n infrastructure across all four apps and the dashboard</t>
        </is>
      </c>
      <c r="E32" s="7" t="inlineStr">
        <is>
          <t>No translation library, no t() pattern, no locale awareness beyond hardcoded en-NG date formatting. A from-scratch build, not a config flip.</t>
        </is>
      </c>
      <c r="F32" s="7" t="inlineStr">
        <is>
          <t>All apps</t>
        </is>
      </c>
      <c r="G32" s="4" t="inlineStr">
        <is>
          <t>8</t>
        </is>
      </c>
      <c r="H32" s="7" t="inlineStr">
        <is>
          <t>Scaffold i18n across the apps, starting with the front-desk and patient-booking screens, and plan for Pidgin, Hausa, Yoruba and Igbo. Propose the library and the extraction approach first — this is a real build, not a translation pass.</t>
        </is>
      </c>
      <c r="I32" s="8" t="inlineStr">
        <is>
          <t>Not started</t>
        </is>
      </c>
      <c r="J32" s="9" t="inlineStr"/>
    </row>
    <row r="33" ht="58" customHeight="1">
      <c r="A33" s="4" t="n">
        <v>29</v>
      </c>
      <c r="B33" s="5" t="inlineStr">
        <is>
          <t>Audit · Structural</t>
        </is>
      </c>
      <c r="C33" s="5" t="inlineStr">
        <is>
          <t>Notifications</t>
        </is>
      </c>
      <c r="D33" s="6" t="inlineStr">
        <is>
          <t>No SMS or email channel exists for patients anywhere</t>
        </is>
      </c>
      <c r="E33" s="7" t="inlineStr">
        <is>
          <t>Every patient notification is push and/or in-app only. The one SMS integration pages ambulance dispatchers and was never extended to patients.</t>
        </is>
      </c>
      <c r="F33" s="7" t="inlineStr">
        <is>
          <t>Platform-wide</t>
        </is>
      </c>
      <c r="G33" s="4" t="inlineStr">
        <is>
          <t>1</t>
        </is>
      </c>
      <c r="H33" s="7" t="inlineStr">
        <is>
          <t>Extend the existing dispatcher SMS integration (Termii / Africa's Talking) to patient notifications: booking approval and rejection, no-show, and above all "no ambulance available". This is the single highest-leverage gap between what the app promises and what it delivers.</t>
        </is>
      </c>
      <c r="I33" s="8" t="inlineStr">
        <is>
          <t>Not started</t>
        </is>
      </c>
      <c r="J33" s="9" t="inlineStr"/>
    </row>
    <row r="34" ht="58" customHeight="1">
      <c r="A34" s="4" t="n">
        <v>30</v>
      </c>
      <c r="B34" s="5" t="inlineStr">
        <is>
          <t>Audit · Structural</t>
        </is>
      </c>
      <c r="C34" s="5" t="inlineStr">
        <is>
          <t>Identity</t>
        </is>
      </c>
      <c r="D34" s="6" t="inlineStr">
        <is>
          <t>No phone OTP or 2FA anywhere, including for medical-record and dispatch access</t>
        </is>
      </c>
      <c r="E34" s="7" t="inlineStr">
        <is>
          <t>Auth is email + password only, and password reset is email-only with no SMS alternative.</t>
        </is>
      </c>
      <c r="F34" s="7" t="inlineStr">
        <is>
          <t>Platform-wide</t>
        </is>
      </c>
      <c r="G34" s="4" t="inlineStr">
        <is>
          <t>3</t>
        </is>
      </c>
      <c r="H34" s="7" t="inlineStr">
        <is>
          <t>Add phone-based OTP login alongside email, and an SMS password-reset path. Phone numbers are the more stable identifier in this market and email is frequently abandoned.</t>
        </is>
      </c>
      <c r="I34" s="8" t="inlineStr">
        <is>
          <t>Not started</t>
        </is>
      </c>
      <c r="J34" s="9" t="inlineStr"/>
    </row>
    <row r="35" ht="58" customHeight="1">
      <c r="A35" s="4" t="n">
        <v>31</v>
      </c>
      <c r="B35" s="5" t="inlineStr">
        <is>
          <t>Audit · Structural</t>
        </is>
      </c>
      <c r="C35" s="5" t="inlineStr">
        <is>
          <t>Identity</t>
        </is>
      </c>
      <c r="D35" s="6" t="inlineStr">
        <is>
          <t>No NIN and no next-of-kin / emergency contact in the data model</t>
        </is>
      </c>
      <c r="E35" s="7" t="inlineStr">
        <is>
          <t>Notable because the app has a dedicated emergency-booking flow with no structured way to know who to contact if the patient is incapacitated.</t>
        </is>
      </c>
      <c r="F35" s="7" t="inlineStr">
        <is>
          <t>Platform-wide</t>
        </is>
      </c>
      <c r="G35" s="4" t="inlineStr"/>
      <c r="H35" s="7" t="inlineStr">
        <is>
          <t>Add a next-of-kin / emergency contact to the patient profile and surface it on the emergency booking and ambulance dispatch screens. Consider NIN as an optional identity field.</t>
        </is>
      </c>
      <c r="I35" s="8" t="inlineStr">
        <is>
          <t>Not started</t>
        </is>
      </c>
      <c r="J35" s="9" t="inlineStr"/>
    </row>
    <row r="36" ht="58" customHeight="1">
      <c r="A36" s="4" t="n">
        <v>32</v>
      </c>
      <c r="B36" s="5" t="inlineStr">
        <is>
          <t>Audit · Structural</t>
        </is>
      </c>
      <c r="C36" s="5" t="inlineStr">
        <is>
          <t>Compliance</t>
        </is>
      </c>
      <c r="D36" s="6" t="inlineStr">
        <is>
          <t>NDPR compliance is claimed in-app with no backing implementation</t>
        </is>
      </c>
      <c r="E36" s="7" t="inlineStr">
        <is>
          <t>No consent tracking, no retention/purge policy, no data export, and account deletion only detaches login without deleting or anonymizing medical data.</t>
        </is>
      </c>
      <c r="F36" s="7" t="inlineStr">
        <is>
          <t>apps/client/screens/SupportScreen.tsx:20; web/src/app/api/account/route.ts:54-57</t>
        </is>
      </c>
      <c r="G36" s="4" t="inlineStr">
        <is>
          <t>7</t>
        </is>
      </c>
      <c r="H36" s="7" t="inlineStr">
        <is>
          <t>Back the NDPR claim with real mechanics: consent capture at signup, a stated retention policy, a data-export endpoint, and genuine anonymization on account deletion. Until then, remove the compliance claim from the Support screen.</t>
        </is>
      </c>
      <c r="I36" s="8" t="inlineStr">
        <is>
          <t>Not started</t>
        </is>
      </c>
      <c r="J36" s="9" t="inlineStr"/>
    </row>
    <row r="37" ht="58" customHeight="1">
      <c r="A37" s="4" t="n">
        <v>33</v>
      </c>
      <c r="B37" s="5" t="inlineStr">
        <is>
          <t>Audit · Structural</t>
        </is>
      </c>
      <c r="C37" s="5" t="inlineStr">
        <is>
          <t>Clinical data</t>
        </is>
      </c>
      <c r="D37" s="6" t="inlineStr">
        <is>
          <t>Prescriptions are unstructured free text</t>
        </is>
      </c>
      <c r="E37" s="7" t="inlineStr">
        <is>
          <t>No drug code, no dosage-unit validation, no interaction checking, no machine-readable output a pharmacy could parse.</t>
        </is>
      </c>
      <c r="F37" s="7" t="inlineStr">
        <is>
          <t>Platform-wide</t>
        </is>
      </c>
      <c r="G37" s="4" t="inlineStr">
        <is>
          <t>10</t>
        </is>
      </c>
      <c r="H37" s="7" t="inlineStr">
        <is>
          <t>Structure prescriptions for pharmacy handoff: a drug-code and dosage-unit field at minimum, so a community pharmacy can dispense accurately. Keep a free-text note alongside for anything that does not fit.</t>
        </is>
      </c>
      <c r="I37" s="8" t="inlineStr">
        <is>
          <t>Not started</t>
        </is>
      </c>
      <c r="J37" s="9" t="inlineStr"/>
    </row>
    <row r="38" ht="58" customHeight="1">
      <c r="A38" s="4" t="n">
        <v>34</v>
      </c>
      <c r="B38" s="5" t="inlineStr">
        <is>
          <t>Audit · Structural</t>
        </is>
      </c>
      <c r="C38" s="5" t="inlineStr">
        <is>
          <t>Performance</t>
        </is>
      </c>
      <c r="D38" s="6" t="inlineStr">
        <is>
          <t>No virtualized lists anywhere</t>
        </is>
      </c>
      <c r="E38" s="7" t="inlineStr">
        <is>
          <t>Zero FlatList usage; every list is ScrollView + .map(), keeping every row mounted. Not a problem at current volumes but will be as history grows.</t>
        </is>
      </c>
      <c r="F38" s="7" t="inlineStr">
        <is>
          <t>Platform-wide</t>
        </is>
      </c>
      <c r="G38" s="4" t="inlineStr">
        <is>
          <t>11</t>
        </is>
      </c>
      <c r="H38" s="7" t="inlineStr">
        <is>
          <t>Convert the long lists (appointment history, notifications, queue) from ScrollView + map to FlatList, before data volumes make it a visible problem on low-end Android devices.</t>
        </is>
      </c>
      <c r="I38" s="8" t="inlineStr">
        <is>
          <t>Not started</t>
        </is>
      </c>
      <c r="J38" s="9" t="inlineStr"/>
    </row>
    <row r="39" ht="58" customHeight="1">
      <c r="A39" s="4" t="n">
        <v>35</v>
      </c>
      <c r="B39" s="5" t="inlineStr">
        <is>
          <t>Audit · Structural</t>
        </is>
      </c>
      <c r="C39" s="5" t="inlineStr">
        <is>
          <t>Ambulance</t>
        </is>
      </c>
      <c r="D39" s="6" t="inlineStr">
        <is>
          <t>GPS ping cadence does not speed up during the highest-value phase</t>
        </is>
      </c>
      <c r="E39" s="7" t="inlineStr">
        <is>
          <t>Design intent was 30s idle and 5s once assigned or en route; the implemented cadence is flat regardless of job state.</t>
        </is>
      </c>
      <c r="F39" s="7" t="inlineStr">
        <is>
          <t>packages/shared/lib/location-task.ts</t>
        </is>
      </c>
      <c r="G39" s="4" t="inlineStr"/>
      <c r="H39" s="7" t="inlineStr">
        <is>
          <t>Make the GPS ping cadence job-aware as designed: slow when idle, fast once a unit is assigned or en route. Confirm the battery impact is acceptable at the faster rate.</t>
        </is>
      </c>
      <c r="I39" s="8" t="inlineStr">
        <is>
          <t>Not started</t>
        </is>
      </c>
      <c r="J39" s="9" t="inlineStr"/>
    </row>
    <row r="40" ht="58" customHeight="1">
      <c r="A40" s="4" t="n">
        <v>36</v>
      </c>
      <c r="B40" s="5" t="inlineStr">
        <is>
          <t>Audit · Structural</t>
        </is>
      </c>
      <c r="C40" s="5" t="inlineStr">
        <is>
          <t>Referrals</t>
        </is>
      </c>
      <c r="D40" s="6" t="inlineStr">
        <is>
          <t>No escalation if a receiving hospital never responds to a referral</t>
        </is>
      </c>
      <c r="E40" s="7" t="inlineStr">
        <is>
          <t>The ambulance system has round-based retry and escalation; referrals have nothing equivalent, so one sent to an inactive front desk can sit indefinitely.</t>
        </is>
      </c>
      <c r="F40" s="7" t="inlineStr">
        <is>
          <t>web/src/app/api/appointments/refer/</t>
        </is>
      </c>
      <c r="G40" s="4" t="inlineStr"/>
      <c r="H40" s="7" t="inlineStr">
        <is>
          <t>Add referral escalation: if a receiving hospital has not responded within a set window, notify the referring doctor and offer an alternative. Model it on the ambulance dispatch retry rounds that already exist.</t>
        </is>
      </c>
      <c r="I40" s="8" t="inlineStr">
        <is>
          <t>Not started</t>
        </is>
      </c>
      <c r="J40" s="9" t="inlineStr"/>
    </row>
    <row r="41" ht="58" customHeight="1">
      <c r="A41" s="4" t="n">
        <v>37</v>
      </c>
      <c r="B41" s="5" t="inlineStr">
        <is>
          <t>Audit · Structural</t>
        </is>
      </c>
      <c r="C41" s="5" t="inlineStr">
        <is>
          <t>Ambulance</t>
        </is>
      </c>
      <c r="D41" s="6" t="inlineStr">
        <is>
          <t>No mid-job cancellation path for a crew (breakdown, wrong dispatch)</t>
        </is>
      </c>
      <c r="E41" s="7" t="inlineStr">
        <is>
          <t>Named in the project's own design document as a state-machine transition and an edge case, with no implementation. Currently handled by a human calling a human.</t>
        </is>
      </c>
      <c r="F41" s="7" t="inlineStr">
        <is>
          <t>Design doc; no implementation</t>
        </is>
      </c>
      <c r="G41" s="4" t="inlineStr"/>
      <c r="H41" s="7" t="inlineStr">
        <is>
          <t>Implement crew mid-job cancellation for breakdown or wrong dispatch, returning the request to dispatch rather than stranding it. It is already named in the design document as a state transition.</t>
        </is>
      </c>
      <c r="I41" s="8" t="inlineStr">
        <is>
          <t>Not started</t>
        </is>
      </c>
      <c r="J41" s="9" t="inlineStr"/>
    </row>
    <row r="42" ht="58" customHeight="1">
      <c r="A42" s="4" t="n">
        <v>38</v>
      </c>
      <c r="B42" s="5" t="inlineStr">
        <is>
          <t>Added · Claude</t>
        </is>
      </c>
      <c r="C42" s="5" t="inlineStr">
        <is>
          <t>CI/CD</t>
        </is>
      </c>
      <c r="D42" s="6" t="inlineStr">
        <is>
          <t>No continuous integration at all — nothing runs typecheck or tests automatically</t>
        </is>
      </c>
      <c r="E42" s="7" t="inlineStr">
        <is>
          <t>There are no GitHub Actions workflows in the repo. Vitest route tests exist but only ever run if someone remembers locally, and four apps plus the dashboard must each be typechecked by hand.</t>
        </is>
      </c>
      <c r="F42" s="7" t="inlineStr">
        <is>
          <t>No .github/workflows directory (verified 01 Oct 2026); web/src/app/api/**/route.test.ts exist</t>
        </is>
      </c>
      <c r="G42" s="4" t="inlineStr"/>
      <c r="H42" s="7" t="inlineStr">
        <is>
          <t>Add a CI workflow that runs tsc --noEmit for all four apps and the web dashboard, plus the existing vitest route tests, on every push and pull request. Nothing currently catches a type error before it reaches the branch.</t>
        </is>
      </c>
      <c r="I42" s="8" t="inlineStr">
        <is>
          <t>Not started</t>
        </is>
      </c>
      <c r="J42" s="9" t="inlineStr"/>
    </row>
    <row r="43" ht="58" customHeight="1">
      <c r="A43" s="4" t="n">
        <v>39</v>
      </c>
      <c r="B43" s="5" t="inlineStr">
        <is>
          <t>Added · Claude</t>
        </is>
      </c>
      <c r="C43" s="5" t="inlineStr">
        <is>
          <t>Release risk</t>
        </is>
      </c>
      <c r="D43" s="6" t="inlineStr">
        <is>
          <t>No release signing keystore exists outside EAS</t>
        </is>
      </c>
      <c r="E43" s="7" t="inlineStr">
        <is>
          <t>The only keystores in the repo are debug keystores. The real upload key is held solely by the EAS account. If that account is lost, no published app can ever be updated — Android rejects a signature change.</t>
        </is>
      </c>
      <c r="F43" s="7" t="inlineStr">
        <is>
          <t>apps/client/android/app/debug.keystore (debug only); EAS credential "Build Credentials Xiksuxuiee"</t>
        </is>
      </c>
      <c r="G43" s="4" t="inlineStr"/>
      <c r="H43" s="7" t="inlineStr">
        <is>
          <t>Export the Android release keystore from EAS and store it somewhere safe and independent of that account, with the passwords recorded. If the EAS account is ever lost, a published app can never be updated again.</t>
        </is>
      </c>
      <c r="I43" s="8" t="inlineStr">
        <is>
          <t>Not started</t>
        </is>
      </c>
      <c r="J43" s="9" t="inlineStr"/>
    </row>
    <row r="44" ht="58" customHeight="1">
      <c r="A44" s="4" t="n">
        <v>40</v>
      </c>
      <c r="B44" s="5" t="inlineStr">
        <is>
          <t>Added · Claude</t>
        </is>
      </c>
      <c r="C44" s="5" t="inlineStr">
        <is>
          <t>Secrets</t>
        </is>
      </c>
      <c r="D44" s="6" t="inlineStr">
        <is>
          <t>Legacy mobile/ and doctors/ directories hold live .env secrets on disk</t>
        </is>
      </c>
      <c r="E44" s="7" t="inlineStr">
        <is>
          <t>Both are pre-monorepo leftovers with no source, but each carries a real .env.local. They were untracked AND unignored, so a git add -A from the repo root would have staged the secrets.</t>
        </is>
      </c>
      <c r="F44" s="7" t="inlineStr">
        <is>
          <t>mobile/.env.local; doctors/.env.local (now covered by .gitignore)</t>
        </is>
      </c>
      <c r="G44" s="4" t="inlineStr"/>
      <c r="H44" s="7" t="inlineStr">
        <is>
          <t>Review whether the legacy mobile/ and doctors/ directories are still needed. They hold live .env.local secrets and about 8.7 GB of stale build output. If not needed, delete them; if kept, confirm the gitignore entries still cover them.</t>
        </is>
      </c>
      <c r="I44" s="8" t="inlineStr">
        <is>
          <t>In progress</t>
        </is>
      </c>
      <c r="J44" s="9" t="inlineStr">
        <is>
          <t>Partly handled: .gitignore now covers both (commit fce3f65), so the secrets can no longer be committed. Directories still present on disk at the owner's request.</t>
        </is>
      </c>
    </row>
    <row r="45" ht="58" customHeight="1">
      <c r="A45" s="4" t="n">
        <v>41</v>
      </c>
      <c r="B45" s="5" t="inlineStr">
        <is>
          <t>Added · Claude</t>
        </is>
      </c>
      <c r="C45" s="5" t="inlineStr">
        <is>
          <t>Process</t>
        </is>
      </c>
      <c r="D45" s="6" t="inlineStr">
        <is>
          <t>All work sits on a feature branch; main is stale and PR #6 is unmerged</t>
        </is>
      </c>
      <c r="E45" s="7" t="inlineStr">
        <is>
          <t>Every fix and feature from recent sessions is on feat/standalone-ambulance-app. Anyone reviewing main — including a collaborator — sees none of it.</t>
        </is>
      </c>
      <c r="F45" s="7" t="inlineStr">
        <is>
          <t>Branch feat/standalone-ambulance-app; PR #6 open</t>
        </is>
      </c>
      <c r="G45" s="4" t="inlineStr"/>
      <c r="H45" s="7" t="inlineStr">
        <is>
          <t>Review and merge PR #6 so main reflects the current state of the project. Anyone looking at main today sees none of the recent work.</t>
        </is>
      </c>
      <c r="I45" s="8" t="inlineStr">
        <is>
          <t>Not started</t>
        </is>
      </c>
      <c r="J45" s="9" t="inlineStr"/>
    </row>
    <row r="46" ht="58" customHeight="1">
      <c r="A46" s="4" t="n">
        <v>42</v>
      </c>
      <c r="B46" s="5" t="inlineStr">
        <is>
          <t>Added · Claude</t>
        </is>
      </c>
      <c r="C46" s="5" t="inlineStr">
        <is>
          <t>Testing</t>
        </is>
      </c>
      <c r="D46" s="6" t="inlineStr">
        <is>
          <t>The e2e account fixtures have drifted and no longer all authenticate</t>
        </is>
      </c>
      <c r="E46" s="7" t="inlineStr">
        <is>
          <t>scripts/e2e/surface-matrix.js passes 8/8 for the doctor and hospital accounts, but the patient and crew accounts fail with "Invalid login credentials", so those surfaces are untested.</t>
        </is>
      </c>
      <c r="F46" s="7" t="inlineStr">
        <is>
          <t>scripts/e2e/accounts.json; scripts/e2e/surface-matrix.js</t>
        </is>
      </c>
      <c r="G46" s="4" t="inlineStr"/>
      <c r="H46" s="7" t="inlineStr">
        <is>
          <t>Repair the e2e account fixtures: the patient and crew accounts in scripts/e2e/accounts.json no longer authenticate, so two of the four surfaces are silently untested by the matrix harness.</t>
        </is>
      </c>
      <c r="I46" s="8" t="inlineStr">
        <is>
          <t>Not started</t>
        </is>
      </c>
      <c r="J46" s="9" t="inlineStr"/>
    </row>
    <row r="47" ht="58" customHeight="1">
      <c r="A47" s="4" t="n">
        <v>43</v>
      </c>
      <c r="B47" s="5" t="inlineStr">
        <is>
          <t>Added · Claude</t>
        </is>
      </c>
      <c r="C47" s="5" t="inlineStr">
        <is>
          <t>Data quality</t>
        </is>
      </c>
      <c r="D47" s="6" t="inlineStr">
        <is>
          <t>Seeded demo data is thin enough to hide bugs in empty-state-only testing</t>
        </is>
      </c>
      <c r="E47" s="7" t="inlineStr">
        <is>
          <t>Only one doctor is assigned to more than one clinic, no patient is currently checked in, and the e2e doctor has no appointments — so queue, wait-time and multi-clinic features can only be seen in their empty states.</t>
        </is>
      </c>
      <c r="F47" s="7" t="inlineStr">
        <is>
          <t>Observed across appointments, doctor_clinics, transport_requests</t>
        </is>
      </c>
      <c r="G47" s="4" t="inlineStr"/>
      <c r="H47" s="7" t="inlineStr">
        <is>
          <t>Seed realistic demo data: patients checked into a queue, a doctor with multiple clinics, and a completed ambulance trip. Several features can currently only be observed in their empty state, which hides bugs.</t>
        </is>
      </c>
      <c r="I47" s="8" t="inlineStr">
        <is>
          <t>Not started</t>
        </is>
      </c>
      <c r="J47" s="9" t="inlineStr"/>
    </row>
    <row r="48" ht="58" customHeight="1">
      <c r="A48" s="4" t="n">
        <v>44</v>
      </c>
      <c r="B48" s="5" t="inlineStr">
        <is>
          <t>Added · Claude</t>
        </is>
      </c>
      <c r="C48" s="5" t="inlineStr">
        <is>
          <t>UI convention</t>
        </is>
      </c>
      <c r="D48" s="6" t="inlineStr">
        <is>
          <t>Tab screens must paint their own background or they render transparent</t>
        </is>
      </c>
      <c r="E48" s="7" t="inlineStr">
        <is>
          <t>The tab navigators set sceneStyle backgroundColor transparent, so any screen without its own opaque background shows the previously-visited screen through it. One instance shipped and was reported as "transparent and disorganized".</t>
        </is>
      </c>
      <c r="F48" s="7" t="inlineStr">
        <is>
          <t>apps/*/App.tsx (sceneStyle transparent); fixed instance: DoctorAppointmentsScreen</t>
        </is>
      </c>
      <c r="G48" s="4" t="inlineStr"/>
      <c r="H48" s="7" t="inlineStr">
        <is>
          <t>Add a lint rule or a shared Screen wrapper so every tab screen paints an opaque background. The navigators use a transparent sceneStyle, so a screen that paints nothing renders the previous screen through it.</t>
        </is>
      </c>
      <c r="I48" s="8" t="inlineStr">
        <is>
          <t>In progress</t>
        </is>
      </c>
      <c r="J48" s="9" t="inlineStr">
        <is>
          <t>The one broken screen was fixed (commit 7a6b9a5) and all four apps audited; no convention yet prevents the next one.</t>
        </is>
      </c>
    </row>
    <row r="49" ht="58" customHeight="1">
      <c r="A49" s="4" t="n">
        <v>45</v>
      </c>
      <c r="B49" s="5" t="inlineStr">
        <is>
          <t>Added · Claude</t>
        </is>
      </c>
      <c r="C49" s="5" t="inlineStr">
        <is>
          <t>Dev workflow</t>
        </is>
      </c>
      <c r="D49" s="6" t="inlineStr">
        <is>
          <t>Metro file watching silently dies, so edits appear not to take effect</t>
        </is>
      </c>
      <c r="E49" s="7" t="inlineStr">
        <is>
          <t>Launching Expo with CI=1 disables watching; Metro then serves a byte-identical stale bundle after real edits. This cost real debugging time before it was identified.</t>
        </is>
      </c>
      <c r="F49" s="7" t="inlineStr">
        <is>
          <t>Observed repeatedly; resolved by restarting without CI=1</t>
        </is>
      </c>
      <c r="G49" s="4" t="inlineStr"/>
      <c r="H49" s="7" t="inlineStr">
        <is>
          <t>Document in the README how to start the dev servers, and warn that CI=1 disables Metro file watching so edits silently never reach the bundle. Consider a start script that sets the right flags.</t>
        </is>
      </c>
      <c r="I49" s="8" t="inlineStr">
        <is>
          <t>Not started</t>
        </is>
      </c>
      <c r="J49" s="9" t="inlineStr"/>
    </row>
  </sheetData>
  <autoFilter ref="A4:J49"/>
  <mergeCells count="2">
    <mergeCell ref="A1:J1"/>
    <mergeCell ref="A2:J2"/>
  </mergeCells>
  <conditionalFormatting sqref="I5:I49">
    <cfRule type="cellIs" priority="1" operator="equal" dxfId="0">
      <formula>"Done"</formula>
    </cfRule>
    <cfRule type="cellIs" priority="2" operator="equal" dxfId="1">
      <formula>"In progress"</formula>
    </cfRule>
    <cfRule type="cellIs" priority="3" operator="equal" dxfId="2">
      <formula>"Postponed"</formula>
    </cfRule>
    <cfRule type="cellIs" priority="4" operator="equal" dxfId="3">
      <formula>"Won't fix"</formula>
    </cfRule>
    <cfRule type="cellIs" priority="5" operator="equal" dxfId="4">
      <formula>"Not started"</formula>
    </cfRule>
  </conditionalFormatting>
  <dataValidations count="1">
    <dataValidation sqref="I5:I49" showDropDown="0" showInputMessage="0" showErrorMessage="0" allowBlank="0" errorTitle="Pick a status" error="Choose one of: Not started, In progress, Done, Postponed, Won't fix" promptTitle="Status" prompt="Select the current status" type="list">
      <formula1>"Not started,In progress,Done,Postponed,Won't fix"</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22" customWidth="1" min="1" max="1"/>
    <col width="10" customWidth="1" min="2" max="2"/>
    <col width="10" customWidth="1" min="3" max="3"/>
  </cols>
  <sheetData>
    <row r="1" ht="24" customHeight="1">
      <c r="A1" s="10" t="inlineStr">
        <is>
          <t>Progress summary</t>
        </is>
      </c>
    </row>
    <row r="3">
      <c r="A3" s="11" t="inlineStr">
        <is>
          <t>By status</t>
        </is>
      </c>
    </row>
    <row r="4">
      <c r="A4" s="12" t="inlineStr">
        <is>
          <t>Status</t>
        </is>
      </c>
      <c r="B4" s="12" t="inlineStr">
        <is>
          <t>Count</t>
        </is>
      </c>
    </row>
    <row r="5">
      <c r="A5" s="13" t="inlineStr">
        <is>
          <t>Not started</t>
        </is>
      </c>
      <c r="B5" s="13">
        <f>COUNTIF(Tracker!$I$5:$I$49,A5)</f>
        <v/>
      </c>
    </row>
    <row r="6">
      <c r="A6" s="13" t="inlineStr">
        <is>
          <t>In progress</t>
        </is>
      </c>
      <c r="B6" s="13">
        <f>COUNTIF(Tracker!$I$5:$I$49,A6)</f>
        <v/>
      </c>
    </row>
    <row r="7">
      <c r="A7" s="13" t="inlineStr">
        <is>
          <t>Done</t>
        </is>
      </c>
      <c r="B7" s="13">
        <f>COUNTIF(Tracker!$I$5:$I$49,A7)</f>
        <v/>
      </c>
    </row>
    <row r="8">
      <c r="A8" s="13" t="inlineStr">
        <is>
          <t>Postponed</t>
        </is>
      </c>
      <c r="B8" s="13">
        <f>COUNTIF(Tracker!$I$5:$I$49,A8)</f>
        <v/>
      </c>
    </row>
    <row r="9">
      <c r="A9" s="13" t="inlineStr">
        <is>
          <t>Won't fix</t>
        </is>
      </c>
      <c r="B9" s="13">
        <f>COUNTIF(Tracker!$I$5:$I$49,A9)</f>
        <v/>
      </c>
    </row>
    <row r="10">
      <c r="A10" s="14" t="inlineStr">
        <is>
          <t>Total</t>
        </is>
      </c>
      <c r="B10" s="14">
        <f>SUM(B5:B9)</f>
        <v/>
      </c>
    </row>
    <row r="13">
      <c r="A13" s="11" t="inlineStr">
        <is>
          <t>By source</t>
        </is>
      </c>
    </row>
    <row r="14">
      <c r="A14" s="12" t="inlineStr">
        <is>
          <t>Source</t>
        </is>
      </c>
      <c r="B14" s="12" t="inlineStr">
        <is>
          <t>Count</t>
        </is>
      </c>
      <c r="C14" s="12" t="inlineStr">
        <is>
          <t>Done</t>
        </is>
      </c>
    </row>
    <row r="15">
      <c r="A15" s="13" t="inlineStr">
        <is>
          <t>Audit · Critical</t>
        </is>
      </c>
      <c r="B15" s="13">
        <f>COUNTIF(Tracker!$B$5:$B$49,A15)</f>
        <v/>
      </c>
      <c r="C15" s="13">
        <f>COUNTIFS(Tracker!$B$5:$B$49,A15,Tracker!$I$5:$I$49,"Done")</f>
        <v/>
      </c>
    </row>
    <row r="16">
      <c r="A16" s="13" t="inlineStr">
        <is>
          <t>Audit · High</t>
        </is>
      </c>
      <c r="B16" s="13">
        <f>COUNTIF(Tracker!$B$5:$B$49,A16)</f>
        <v/>
      </c>
      <c r="C16" s="13">
        <f>COUNTIFS(Tracker!$B$5:$B$49,A16,Tracker!$I$5:$I$49,"Done")</f>
        <v/>
      </c>
    </row>
    <row r="17">
      <c r="A17" s="13" t="inlineStr">
        <is>
          <t>Audit · Structural</t>
        </is>
      </c>
      <c r="B17" s="13">
        <f>COUNTIF(Tracker!$B$5:$B$49,A17)</f>
        <v/>
      </c>
      <c r="C17" s="13">
        <f>COUNTIFS(Tracker!$B$5:$B$49,A17,Tracker!$I$5:$I$49,"Done")</f>
        <v/>
      </c>
    </row>
    <row r="18">
      <c r="A18" s="13" t="inlineStr">
        <is>
          <t>Added · Claude</t>
        </is>
      </c>
      <c r="B18" s="13">
        <f>COUNTIF(Tracker!$B$5:$B$49,A18)</f>
        <v/>
      </c>
      <c r="C18" s="13">
        <f>COUNTIFS(Tracker!$B$5:$B$49,A18,Tracker!$I$5:$I$49,"Done")</f>
        <v/>
      </c>
    </row>
    <row r="21">
      <c r="A21" s="11" t="inlineStr">
        <is>
          <t>Percent complete</t>
        </is>
      </c>
      <c r="B21" s="15">
        <f>IFERROR(B7/B10,0)</f>
        <v/>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2026-10-01T21:30:29Z</dcterms:created>
  <dcterms:modified xmlns:dcterms="http://purl.org/dc/terms/" xmlns:xsi="http://www.w3.org/2001/XMLSchema-instance" xsi:type="dcterms:W3CDTF">2026-10-01T21:30:29Z</dcterms:modified>
</cp:coreProperties>
</file>